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KD\Git testing\Testing\Repo-for-workshops\"/>
    </mc:Choice>
  </mc:AlternateContent>
  <xr:revisionPtr revIDLastSave="0" documentId="13_ncr:1_{47408BBD-1092-4AB5-9698-FD96E2F3D6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  <sheet name="Summary" sheetId="2" r:id="rId2"/>
    <sheet name="Instructions" sheetId="3" r:id="rId3"/>
  </sheets>
  <definedNames>
    <definedName name="_xlnm._FilterDatabase" localSheetId="0" hidden="1">Tasks!$A$1:$O$25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G13" i="2"/>
  <c r="F13" i="2"/>
  <c r="E13" i="2"/>
  <c r="D13" i="2"/>
  <c r="C13" i="2"/>
  <c r="B13" i="2"/>
  <c r="I12" i="2"/>
  <c r="G12" i="2"/>
  <c r="F12" i="2"/>
  <c r="E12" i="2"/>
  <c r="D12" i="2"/>
  <c r="C12" i="2"/>
  <c r="B12" i="2"/>
  <c r="I11" i="2"/>
  <c r="G11" i="2"/>
  <c r="F11" i="2"/>
  <c r="E11" i="2"/>
  <c r="D11" i="2"/>
  <c r="C11" i="2"/>
  <c r="B11" i="2"/>
  <c r="I10" i="2"/>
  <c r="G10" i="2"/>
  <c r="F10" i="2"/>
  <c r="E10" i="2"/>
  <c r="D10" i="2"/>
  <c r="C10" i="2"/>
  <c r="B10" i="2"/>
  <c r="I9" i="2"/>
  <c r="G9" i="2"/>
  <c r="F9" i="2"/>
  <c r="E9" i="2"/>
  <c r="D9" i="2"/>
  <c r="C9" i="2"/>
  <c r="B9" i="2"/>
  <c r="J9" i="2" s="1"/>
  <c r="I8" i="2"/>
  <c r="G8" i="2"/>
  <c r="F8" i="2"/>
  <c r="E8" i="2"/>
  <c r="D8" i="2"/>
  <c r="C8" i="2"/>
  <c r="B8" i="2"/>
  <c r="I7" i="2"/>
  <c r="G7" i="2"/>
  <c r="F7" i="2"/>
  <c r="E7" i="2"/>
  <c r="D7" i="2"/>
  <c r="C7" i="2"/>
  <c r="B7" i="2"/>
  <c r="I6" i="2"/>
  <c r="G6" i="2"/>
  <c r="F6" i="2"/>
  <c r="E6" i="2"/>
  <c r="D6" i="2"/>
  <c r="C6" i="2"/>
  <c r="B6" i="2"/>
  <c r="N25" i="1"/>
  <c r="L25" i="1"/>
  <c r="N24" i="1"/>
  <c r="L24" i="1"/>
  <c r="N23" i="1"/>
  <c r="L23" i="1"/>
  <c r="N22" i="1"/>
  <c r="L22" i="1"/>
  <c r="N21" i="1"/>
  <c r="L21" i="1"/>
  <c r="N20" i="1"/>
  <c r="L20" i="1"/>
  <c r="N19" i="1"/>
  <c r="L19" i="1"/>
  <c r="N18" i="1"/>
  <c r="L18" i="1"/>
  <c r="N17" i="1"/>
  <c r="L17" i="1"/>
  <c r="N16" i="1"/>
  <c r="L16" i="1"/>
  <c r="N15" i="1"/>
  <c r="L15" i="1"/>
  <c r="N14" i="1"/>
  <c r="L14" i="1"/>
  <c r="N13" i="1"/>
  <c r="L13" i="1"/>
  <c r="N12" i="1"/>
  <c r="L12" i="1"/>
  <c r="N11" i="1"/>
  <c r="L11" i="1"/>
  <c r="N10" i="1"/>
  <c r="L10" i="1"/>
  <c r="N9" i="1"/>
  <c r="L9" i="1"/>
  <c r="N8" i="1"/>
  <c r="L8" i="1"/>
  <c r="N7" i="1"/>
  <c r="L7" i="1"/>
  <c r="N6" i="1"/>
  <c r="L6" i="1"/>
  <c r="N5" i="1"/>
  <c r="L5" i="1"/>
  <c r="N4" i="1"/>
  <c r="L4" i="1"/>
  <c r="N3" i="1"/>
  <c r="L3" i="1"/>
  <c r="N2" i="1"/>
  <c r="L2" i="1"/>
  <c r="J8" i="2" l="1"/>
  <c r="H7" i="2"/>
  <c r="H9" i="2"/>
  <c r="H13" i="2"/>
  <c r="J10" i="2"/>
  <c r="K6" i="2"/>
  <c r="K13" i="2"/>
  <c r="K7" i="2"/>
  <c r="H8" i="2"/>
  <c r="H10" i="2"/>
  <c r="J13" i="2"/>
  <c r="J11" i="2"/>
  <c r="K11" i="2"/>
  <c r="H11" i="2"/>
  <c r="K9" i="2"/>
  <c r="C14" i="2"/>
  <c r="J12" i="2"/>
  <c r="H12" i="2"/>
  <c r="E14" i="2"/>
  <c r="B14" i="2"/>
  <c r="J6" i="2"/>
  <c r="J7" i="2"/>
  <c r="D14" i="2"/>
  <c r="F14" i="2"/>
  <c r="K8" i="2"/>
  <c r="K10" i="2"/>
  <c r="K12" i="2"/>
  <c r="G14" i="2"/>
  <c r="I14" i="2"/>
  <c r="H6" i="2"/>
  <c r="K14" i="2" l="1"/>
  <c r="H14" i="2"/>
  <c r="J14" i="2"/>
</calcChain>
</file>

<file path=xl/sharedStrings.xml><?xml version="1.0" encoding="utf-8"?>
<sst xmlns="http://schemas.openxmlformats.org/spreadsheetml/2006/main" count="232" uniqueCount="118">
  <si>
    <t>Task ID</t>
  </si>
  <si>
    <t>Project</t>
  </si>
  <si>
    <t>Participant</t>
  </si>
  <si>
    <t>Category</t>
  </si>
  <si>
    <t>Priority</t>
  </si>
  <si>
    <t>Status</t>
  </si>
  <si>
    <t>Start Date</t>
  </si>
  <si>
    <t>Due Date</t>
  </si>
  <si>
    <t>Completed Date</t>
  </si>
  <si>
    <t>Estimated Hours</t>
  </si>
  <si>
    <t>Actual Hours</t>
  </si>
  <si>
    <t>Variance Hours</t>
  </si>
  <si>
    <t>Completion %</t>
  </si>
  <si>
    <t>On Time</t>
  </si>
  <si>
    <t>Notes</t>
  </si>
  <si>
    <t>Sales Dashboard Refresh</t>
  </si>
  <si>
    <t>PRKD</t>
  </si>
  <si>
    <t>SQL</t>
  </si>
  <si>
    <t>High</t>
  </si>
  <si>
    <t>Completed</t>
  </si>
  <si>
    <t>Prepare source data model - Initial model approved</t>
  </si>
  <si>
    <t>In Progress</t>
  </si>
  <si>
    <t>Create KPI validation query - Add edge-case tests</t>
  </si>
  <si>
    <t>GitHub Workshop Materials</t>
  </si>
  <si>
    <t>Testing</t>
  </si>
  <si>
    <t>Medium</t>
  </si>
  <si>
    <t>Not Started</t>
  </si>
  <si>
    <t>Review workshop repository - Check branches and permissions</t>
  </si>
  <si>
    <t>Data Quality Automation</t>
  </si>
  <si>
    <t>PAAT</t>
  </si>
  <si>
    <t>Documentation</t>
  </si>
  <si>
    <t>Define duplicate detection rules - Rules saved in project notes</t>
  </si>
  <si>
    <t>Build duplicate records query - Waiting for one source column</t>
  </si>
  <si>
    <t>Low</t>
  </si>
  <si>
    <t>Add README examples - Use simple Markdown examples</t>
  </si>
  <si>
    <t>Monthly Reporting Workflow</t>
  </si>
  <si>
    <t>ALZK</t>
  </si>
  <si>
    <t>Excel</t>
  </si>
  <si>
    <t>Map monthly input files - File map shared with team</t>
  </si>
  <si>
    <t>Create import checklist - Completed one day late</t>
  </si>
  <si>
    <t>Test merge conflict scenario - Use shared SQL file</t>
  </si>
  <si>
    <t>WERA</t>
  </si>
  <si>
    <t>Power BI</t>
  </si>
  <si>
    <t>Design dashboard layout - Layout accepted</t>
  </si>
  <si>
    <t>Blocked</t>
  </si>
  <si>
    <t>Configure drill-through page - Blocked by missing relationship</t>
  </si>
  <si>
    <t>Update workshop screenshots - Capture GitHub Desktop screens</t>
  </si>
  <si>
    <t>DADY</t>
  </si>
  <si>
    <t>Create data quality test cases - All expected outcomes documented</t>
  </si>
  <si>
    <t>Python</t>
  </si>
  <si>
    <t>Automate exception summary - Prototype creates CSV output</t>
  </si>
  <si>
    <t>Validate report totals - Compare with prior month</t>
  </si>
  <si>
    <t>MIWW</t>
  </si>
  <si>
    <t>Create monthly control sheet - Includes reconciliation section</t>
  </si>
  <si>
    <t>Add formula error checks - Two checks remain</t>
  </si>
  <si>
    <t>Git</t>
  </si>
  <si>
    <t>Create sample pull request - Pull request merged</t>
  </si>
  <si>
    <t>KIPJ</t>
  </si>
  <si>
    <t>Prepare dashboard test data - Includes null and duplicate rows</t>
  </si>
  <si>
    <t>Run user acceptance test - First feedback collected</t>
  </si>
  <si>
    <t>Document exception handling - Add examples after testing</t>
  </si>
  <si>
    <t>KRWO</t>
  </si>
  <si>
    <t>Profile source columns - Profile stored in workbook</t>
  </si>
  <si>
    <t>Prepare refresh instructions - Add troubleshooting section</t>
  </si>
  <si>
    <t>Verify final workshop files - Waiting for final participant list</t>
  </si>
  <si>
    <t>GitHub Desktop Workshop - Team Summary</t>
  </si>
  <si>
    <t>Reference Date</t>
  </si>
  <si>
    <t>Change this date to refresh On Time results in Excel.</t>
  </si>
  <si>
    <t>Total Tasks</t>
  </si>
  <si>
    <t>Avg Completion</t>
  </si>
  <si>
    <t>Completion Rate</t>
  </si>
  <si>
    <t>On Time Tasks</t>
  </si>
  <si>
    <t>TOTAL / AVERAGE</t>
  </si>
  <si>
    <t>Shared Workshop File - Suggested Exercises</t>
  </si>
  <si>
    <t>Step</t>
  </si>
  <si>
    <t>Exercise</t>
  </si>
  <si>
    <t>Action</t>
  </si>
  <si>
    <t>Tool</t>
  </si>
  <si>
    <t>Completed By</t>
  </si>
  <si>
    <t>1</t>
  </si>
  <si>
    <t>Create a branch</t>
  </si>
  <si>
    <t>Create a branch named feature/&lt;your-initials&gt;.</t>
  </si>
  <si>
    <t>GitHub Desktop</t>
  </si>
  <si>
    <t>2</t>
  </si>
  <si>
    <t>Edit a task</t>
  </si>
  <si>
    <t>Change one status, completion value or note on the Tasks sheet.</t>
  </si>
  <si>
    <t>3</t>
  </si>
  <si>
    <t>Add a row</t>
  </si>
  <si>
    <t>Add one new task assigned to your initials.</t>
  </si>
  <si>
    <t>4</t>
  </si>
  <si>
    <t>Commit changes</t>
  </si>
  <si>
    <t>Use a short message that explains what changed.</t>
  </si>
  <si>
    <t>5</t>
  </si>
  <si>
    <t>Push branch</t>
  </si>
  <si>
    <t>Publish or push the branch to the remote repository.</t>
  </si>
  <si>
    <t>6</t>
  </si>
  <si>
    <t>Create pull request</t>
  </si>
  <si>
    <t>Describe the change and ask another participant for review.</t>
  </si>
  <si>
    <t>GitHub</t>
  </si>
  <si>
    <t>7</t>
  </si>
  <si>
    <t>Review SQL</t>
  </si>
  <si>
    <t>Add a comment or a new SELECT query to the shared SQL file.</t>
  </si>
  <si>
    <t>SQL editor</t>
  </si>
  <si>
    <t>8</t>
  </si>
  <si>
    <t>Resolve a conflict</t>
  </si>
  <si>
    <t>Two participants edit the same note and resolve the conflict together.</t>
  </si>
  <si>
    <t>Color legend</t>
  </si>
  <si>
    <t>Blue text</t>
  </si>
  <si>
    <t>Editable input</t>
  </si>
  <si>
    <t>Black text</t>
  </si>
  <si>
    <t>Formula or calculated value</t>
  </si>
  <si>
    <t>Green text</t>
  </si>
  <si>
    <t>Linked formula from another sheet</t>
  </si>
  <si>
    <t>Gray text</t>
  </si>
  <si>
    <t>Static label or instruction</t>
  </si>
  <si>
    <t>Purple fill</t>
  </si>
  <si>
    <t>Control value</t>
  </si>
  <si>
    <t>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</si>
</sst>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;[Red]\(0.0\);\-"/>
    <numFmt numFmtId="166" formatCode="[=1]&quot;Yes&quot;;[=0]&quot;No&quot;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ptos Display"/>
    </font>
    <font>
      <sz val="10"/>
      <color rgb="FF0000FF"/>
      <name val="Aptos"/>
    </font>
    <font>
      <sz val="10"/>
      <color rgb="FF000000"/>
      <name val="Aptos"/>
    </font>
    <font>
      <sz val="10"/>
      <color rgb="FF008000"/>
      <name val="Aptos"/>
    </font>
    <font>
      <b/>
      <sz val="16"/>
      <color rgb="FFFFFFFF"/>
      <name val="Aptos Display"/>
    </font>
    <font>
      <b/>
      <sz val="11"/>
      <color rgb="FF7030A0"/>
      <name val="Calibri"/>
    </font>
    <font>
      <i/>
      <sz val="11"/>
      <color rgb="FF666666"/>
      <name val="Calibri"/>
    </font>
    <font>
      <b/>
      <sz val="10"/>
      <color rgb="FFFFFFFF"/>
      <name val="Aptos"/>
    </font>
    <font>
      <sz val="10"/>
      <color rgb="FF666666"/>
      <name val="Aptos"/>
    </font>
    <font>
      <b/>
      <sz val="10"/>
      <color rgb="FF666666"/>
      <name val="Aptos"/>
    </font>
    <font>
      <b/>
      <sz val="10"/>
      <color rgb="FF000000"/>
      <name val="Aptos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sz val="11"/>
      <color rgb="FF66666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4DFE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 style="thin">
        <color rgb="FF666666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9" fontId="2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/>
    <xf numFmtId="164" fontId="2" fillId="3" borderId="0" xfId="0" applyNumberFormat="1" applyFont="1" applyFill="1"/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9" fillId="0" borderId="0" xfId="0" applyFont="1"/>
    <xf numFmtId="1" fontId="4" fillId="0" borderId="0" xfId="0" applyNumberFormat="1" applyFont="1"/>
    <xf numFmtId="165" fontId="4" fillId="0" borderId="0" xfId="0" applyNumberFormat="1" applyFont="1"/>
    <xf numFmtId="9" fontId="4" fillId="0" borderId="0" xfId="0" applyNumberFormat="1" applyFont="1"/>
    <xf numFmtId="0" fontId="10" fillId="4" borderId="1" xfId="0" applyFont="1" applyFill="1" applyBorder="1"/>
    <xf numFmtId="1" fontId="11" fillId="4" borderId="1" xfId="0" applyNumberFormat="1" applyFont="1" applyFill="1" applyBorder="1"/>
    <xf numFmtId="165" fontId="11" fillId="4" borderId="1" xfId="0" applyNumberFormat="1" applyFont="1" applyFill="1" applyBorder="1"/>
    <xf numFmtId="9" fontId="11" fillId="4" borderId="1" xfId="0" applyNumberFormat="1" applyFont="1" applyFill="1" applyBorder="1"/>
    <xf numFmtId="0" fontId="9" fillId="0" borderId="0" xfId="0" applyFont="1" applyAlignment="1">
      <alignment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0" fillId="3" borderId="0" xfId="0" applyFill="1"/>
    <xf numFmtId="0" fontId="5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6"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Completed Tasks by Participant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Summary!$C$5</c:f>
              <c:strCache>
                <c:ptCount val="1"/>
                <c:pt idx="0">
                  <c:v>Completed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PRKD</c:v>
                </c:pt>
                <c:pt idx="1">
                  <c:v>PAAT</c:v>
                </c:pt>
                <c:pt idx="2">
                  <c:v>ALZK</c:v>
                </c:pt>
                <c:pt idx="3">
                  <c:v>WERA</c:v>
                </c:pt>
                <c:pt idx="4">
                  <c:v>DADY</c:v>
                </c:pt>
                <c:pt idx="5">
                  <c:v>MIWW</c:v>
                </c:pt>
                <c:pt idx="6">
                  <c:v>KIPJ</c:v>
                </c:pt>
                <c:pt idx="7">
                  <c:v>KRWO</c:v>
                </c:pt>
              </c:strCache>
            </c:strRef>
          </c:cat>
          <c:val>
            <c:numRef>
              <c:f>Summary!$C$6:$C$13</c:f>
              <c:numCache>
                <c:formatCode>0</c:formatCode>
                <c:ptCount val="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8CA-ACC2-572209B10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Participant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Completed Tasks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10" customWidth="1"/>
    <col min="2" max="2" width="28" customWidth="1"/>
    <col min="3" max="3" width="12" customWidth="1"/>
    <col min="4" max="4" width="16" customWidth="1"/>
    <col min="5" max="5" width="11" customWidth="1"/>
    <col min="6" max="6" width="14" customWidth="1"/>
    <col min="7" max="8" width="12" customWidth="1"/>
    <col min="9" max="9" width="14" customWidth="1"/>
    <col min="10" max="10" width="15" customWidth="1"/>
    <col min="11" max="11" width="13" customWidth="1"/>
    <col min="12" max="12" width="14" customWidth="1"/>
    <col min="13" max="13" width="13" customWidth="1"/>
    <col min="14" max="14" width="11" customWidth="1"/>
    <col min="15" max="15" width="45" customWidth="1"/>
  </cols>
  <sheetData>
    <row r="1" spans="1:15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101</v>
      </c>
      <c r="B2" s="3" t="s">
        <v>15</v>
      </c>
      <c r="C2" s="2" t="s">
        <v>16</v>
      </c>
      <c r="D2" s="2" t="s">
        <v>117</v>
      </c>
      <c r="E2" s="2" t="s">
        <v>18</v>
      </c>
      <c r="F2" s="2" t="s">
        <v>19</v>
      </c>
      <c r="G2" s="4">
        <v>46266</v>
      </c>
      <c r="H2" s="4">
        <v>46269</v>
      </c>
      <c r="I2" s="4">
        <v>46269</v>
      </c>
      <c r="J2" s="5">
        <v>6</v>
      </c>
      <c r="K2" s="5">
        <v>6.5</v>
      </c>
      <c r="L2" s="6">
        <f t="shared" ref="L2:L25" si="0">IF(K2="",0,K2-J2)</f>
        <v>0.5</v>
      </c>
      <c r="M2" s="7">
        <v>1</v>
      </c>
      <c r="N2" s="8">
        <f>IF(I2="",IF(Summary!$B$2&lt;=H2,1,0),IF(I2&lt;=H2,1,0))</f>
        <v>1</v>
      </c>
      <c r="O2" s="3" t="s">
        <v>20</v>
      </c>
    </row>
    <row r="3" spans="1:15" x14ac:dyDescent="0.35">
      <c r="A3" s="2">
        <v>102</v>
      </c>
      <c r="B3" s="3" t="s">
        <v>15</v>
      </c>
      <c r="C3" s="2" t="s">
        <v>16</v>
      </c>
      <c r="D3" s="2" t="s">
        <v>17</v>
      </c>
      <c r="E3" s="2" t="s">
        <v>18</v>
      </c>
      <c r="F3" s="2" t="s">
        <v>21</v>
      </c>
      <c r="G3" s="4">
        <v>46273</v>
      </c>
      <c r="H3" s="4">
        <v>46290</v>
      </c>
      <c r="I3" s="4"/>
      <c r="J3" s="5">
        <v>5</v>
      </c>
      <c r="K3" s="5">
        <v>3</v>
      </c>
      <c r="L3" s="6">
        <f t="shared" si="0"/>
        <v>-2</v>
      </c>
      <c r="M3" s="7">
        <v>0.6</v>
      </c>
      <c r="N3" s="8">
        <f>IF(I3="",IF(Summary!$B$2&lt;=H3,1,0),IF(I3&lt;=H3,1,0))</f>
        <v>1</v>
      </c>
      <c r="O3" s="3" t="s">
        <v>22</v>
      </c>
    </row>
    <row r="4" spans="1:15" ht="26" x14ac:dyDescent="0.35">
      <c r="A4" s="2">
        <v>103</v>
      </c>
      <c r="B4" s="3" t="s">
        <v>23</v>
      </c>
      <c r="C4" s="2" t="s">
        <v>16</v>
      </c>
      <c r="D4" s="2" t="s">
        <v>24</v>
      </c>
      <c r="E4" s="2" t="s">
        <v>25</v>
      </c>
      <c r="F4" s="2" t="s">
        <v>26</v>
      </c>
      <c r="G4" s="4">
        <v>46289</v>
      </c>
      <c r="H4" s="4">
        <v>46295</v>
      </c>
      <c r="I4" s="4"/>
      <c r="J4" s="5">
        <v>3</v>
      </c>
      <c r="K4" s="5"/>
      <c r="L4" s="6">
        <f t="shared" si="0"/>
        <v>0</v>
      </c>
      <c r="M4" s="7">
        <v>0</v>
      </c>
      <c r="N4" s="8">
        <f>IF(I4="",IF(Summary!$B$2&lt;=H4,1,0),IF(I4&lt;=H4,1,0))</f>
        <v>1</v>
      </c>
      <c r="O4" s="3" t="s">
        <v>27</v>
      </c>
    </row>
    <row r="5" spans="1:15" ht="26" x14ac:dyDescent="0.35">
      <c r="A5" s="2">
        <v>104</v>
      </c>
      <c r="B5" s="3" t="s">
        <v>28</v>
      </c>
      <c r="C5" s="2" t="s">
        <v>29</v>
      </c>
      <c r="D5" s="2" t="s">
        <v>30</v>
      </c>
      <c r="E5" s="2" t="s">
        <v>25</v>
      </c>
      <c r="F5" s="2" t="s">
        <v>19</v>
      </c>
      <c r="G5" s="4">
        <v>46267</v>
      </c>
      <c r="H5" s="4">
        <v>46270</v>
      </c>
      <c r="I5" s="4">
        <v>46270</v>
      </c>
      <c r="J5" s="5">
        <v>4</v>
      </c>
      <c r="K5" s="5">
        <v>3.5</v>
      </c>
      <c r="L5" s="6">
        <f t="shared" si="0"/>
        <v>-0.5</v>
      </c>
      <c r="M5" s="7">
        <v>1</v>
      </c>
      <c r="N5" s="8">
        <f>IF(I5="",IF(Summary!$B$2&lt;=H5,1,0),IF(I5&lt;=H5,1,0))</f>
        <v>1</v>
      </c>
      <c r="O5" s="3" t="s">
        <v>31</v>
      </c>
    </row>
    <row r="6" spans="1:15" ht="26" x14ac:dyDescent="0.35">
      <c r="A6" s="2">
        <v>105</v>
      </c>
      <c r="B6" s="3" t="s">
        <v>28</v>
      </c>
      <c r="C6" s="2" t="s">
        <v>29</v>
      </c>
      <c r="D6" s="2" t="s">
        <v>17</v>
      </c>
      <c r="E6" s="2" t="s">
        <v>18</v>
      </c>
      <c r="F6" s="2" t="s">
        <v>21</v>
      </c>
      <c r="G6" s="4">
        <v>46272</v>
      </c>
      <c r="H6" s="4">
        <v>46289</v>
      </c>
      <c r="I6" s="4"/>
      <c r="J6" s="5">
        <v>7</v>
      </c>
      <c r="K6" s="5">
        <v>5.5</v>
      </c>
      <c r="L6" s="6">
        <f t="shared" si="0"/>
        <v>-1.5</v>
      </c>
      <c r="M6" s="7">
        <v>0.8</v>
      </c>
      <c r="N6" s="8">
        <f>IF(I6="",IF(Summary!$B$2&lt;=H6,1,0),IF(I6&lt;=H6,1,0))</f>
        <v>1</v>
      </c>
      <c r="O6" s="3" t="s">
        <v>32</v>
      </c>
    </row>
    <row r="7" spans="1:15" ht="26" x14ac:dyDescent="0.35">
      <c r="A7" s="2">
        <v>106</v>
      </c>
      <c r="B7" s="3" t="s">
        <v>23</v>
      </c>
      <c r="C7" s="2" t="s">
        <v>29</v>
      </c>
      <c r="D7" s="2" t="s">
        <v>30</v>
      </c>
      <c r="E7" s="2" t="s">
        <v>33</v>
      </c>
      <c r="F7" s="2" t="s">
        <v>26</v>
      </c>
      <c r="G7" s="4">
        <v>46290</v>
      </c>
      <c r="H7" s="4">
        <v>46297</v>
      </c>
      <c r="I7" s="4"/>
      <c r="J7" s="5">
        <v>2</v>
      </c>
      <c r="K7" s="5"/>
      <c r="L7" s="6">
        <f t="shared" si="0"/>
        <v>0</v>
      </c>
      <c r="M7" s="7">
        <v>0</v>
      </c>
      <c r="N7" s="8">
        <f>IF(I7="",IF(Summary!$B$2&lt;=H7,1,0),IF(I7&lt;=H7,1,0))</f>
        <v>1</v>
      </c>
      <c r="O7" s="3" t="s">
        <v>34</v>
      </c>
    </row>
    <row r="8" spans="1:15" x14ac:dyDescent="0.35">
      <c r="A8" s="2">
        <v>107</v>
      </c>
      <c r="B8" s="3" t="s">
        <v>35</v>
      </c>
      <c r="C8" s="2" t="s">
        <v>36</v>
      </c>
      <c r="D8" s="2" t="s">
        <v>37</v>
      </c>
      <c r="E8" s="2" t="s">
        <v>25</v>
      </c>
      <c r="F8" s="2" t="s">
        <v>19</v>
      </c>
      <c r="G8" s="4">
        <v>46266</v>
      </c>
      <c r="H8" s="4">
        <v>46268</v>
      </c>
      <c r="I8" s="4">
        <v>46267</v>
      </c>
      <c r="J8" s="5">
        <v>3</v>
      </c>
      <c r="K8" s="5">
        <v>2.5</v>
      </c>
      <c r="L8" s="6">
        <f t="shared" si="0"/>
        <v>-0.5</v>
      </c>
      <c r="M8" s="7">
        <v>1</v>
      </c>
      <c r="N8" s="8">
        <f>IF(I8="",IF(Summary!$B$2&lt;=H8,1,0),IF(I8&lt;=H8,1,0))</f>
        <v>1</v>
      </c>
      <c r="O8" s="3" t="s">
        <v>38</v>
      </c>
    </row>
    <row r="9" spans="1:15" x14ac:dyDescent="0.35">
      <c r="A9" s="2">
        <v>108</v>
      </c>
      <c r="B9" s="3" t="s">
        <v>35</v>
      </c>
      <c r="C9" s="2" t="s">
        <v>36</v>
      </c>
      <c r="D9" s="2" t="s">
        <v>30</v>
      </c>
      <c r="E9" s="2" t="s">
        <v>25</v>
      </c>
      <c r="F9" s="2" t="s">
        <v>19</v>
      </c>
      <c r="G9" s="4">
        <v>46269</v>
      </c>
      <c r="H9" s="4">
        <v>46273</v>
      </c>
      <c r="I9" s="4">
        <v>46274</v>
      </c>
      <c r="J9" s="5">
        <v>3</v>
      </c>
      <c r="K9" s="5">
        <v>4</v>
      </c>
      <c r="L9" s="6">
        <f t="shared" si="0"/>
        <v>1</v>
      </c>
      <c r="M9" s="7">
        <v>1</v>
      </c>
      <c r="N9" s="8">
        <f>IF(I9="",IF(Summary!$B$2&lt;=H9,1,0),IF(I9&lt;=H9,1,0))</f>
        <v>0</v>
      </c>
      <c r="O9" s="3" t="s">
        <v>39</v>
      </c>
    </row>
    <row r="10" spans="1:15" x14ac:dyDescent="0.35">
      <c r="A10" s="2">
        <v>109</v>
      </c>
      <c r="B10" s="3" t="s">
        <v>23</v>
      </c>
      <c r="C10" s="2" t="s">
        <v>36</v>
      </c>
      <c r="D10" s="2" t="s">
        <v>24</v>
      </c>
      <c r="E10" s="2" t="s">
        <v>18</v>
      </c>
      <c r="F10" s="2" t="s">
        <v>21</v>
      </c>
      <c r="G10" s="4">
        <v>46286</v>
      </c>
      <c r="H10" s="4">
        <v>46289</v>
      </c>
      <c r="I10" s="4"/>
      <c r="J10" s="5">
        <v>4</v>
      </c>
      <c r="K10" s="5">
        <v>2</v>
      </c>
      <c r="L10" s="6">
        <f t="shared" si="0"/>
        <v>-2</v>
      </c>
      <c r="M10" s="7">
        <v>0.5</v>
      </c>
      <c r="N10" s="8">
        <f>IF(I10="",IF(Summary!$B$2&lt;=H10,1,0),IF(I10&lt;=H10,1,0))</f>
        <v>1</v>
      </c>
      <c r="O10" s="3" t="s">
        <v>40</v>
      </c>
    </row>
    <row r="11" spans="1:15" x14ac:dyDescent="0.35">
      <c r="A11" s="2">
        <v>110</v>
      </c>
      <c r="B11" s="3" t="s">
        <v>15</v>
      </c>
      <c r="C11" s="2" t="s">
        <v>41</v>
      </c>
      <c r="D11" s="2" t="s">
        <v>42</v>
      </c>
      <c r="E11" s="2" t="s">
        <v>25</v>
      </c>
      <c r="F11" s="2" t="s">
        <v>19</v>
      </c>
      <c r="G11" s="4">
        <v>46268</v>
      </c>
      <c r="H11" s="4">
        <v>46273</v>
      </c>
      <c r="I11" s="4">
        <v>46273</v>
      </c>
      <c r="J11" s="5">
        <v>6</v>
      </c>
      <c r="K11" s="5">
        <v>6</v>
      </c>
      <c r="L11" s="6">
        <f t="shared" si="0"/>
        <v>0</v>
      </c>
      <c r="M11" s="7">
        <v>1</v>
      </c>
      <c r="N11" s="8">
        <f>IF(I11="",IF(Summary!$B$2&lt;=H11,1,0),IF(I11&lt;=H11,1,0))</f>
        <v>1</v>
      </c>
      <c r="O11" s="3" t="s">
        <v>43</v>
      </c>
    </row>
    <row r="12" spans="1:15" ht="26" x14ac:dyDescent="0.35">
      <c r="A12" s="2">
        <v>111</v>
      </c>
      <c r="B12" s="3" t="s">
        <v>15</v>
      </c>
      <c r="C12" s="2" t="s">
        <v>41</v>
      </c>
      <c r="D12" s="2" t="s">
        <v>42</v>
      </c>
      <c r="E12" s="2" t="s">
        <v>25</v>
      </c>
      <c r="F12" s="2" t="s">
        <v>44</v>
      </c>
      <c r="G12" s="4">
        <v>46274</v>
      </c>
      <c r="H12" s="4">
        <v>46287</v>
      </c>
      <c r="I12" s="4"/>
      <c r="J12" s="5">
        <v>5</v>
      </c>
      <c r="K12" s="5">
        <v>2</v>
      </c>
      <c r="L12" s="6">
        <f t="shared" si="0"/>
        <v>-3</v>
      </c>
      <c r="M12" s="7">
        <v>0.4</v>
      </c>
      <c r="N12" s="8">
        <f>IF(I12="",IF(Summary!$B$2&lt;=H12,1,0),IF(I12&lt;=H12,1,0))</f>
        <v>0</v>
      </c>
      <c r="O12" s="3" t="s">
        <v>45</v>
      </c>
    </row>
    <row r="13" spans="1:15" ht="26" x14ac:dyDescent="0.35">
      <c r="A13" s="2">
        <v>112</v>
      </c>
      <c r="B13" s="3" t="s">
        <v>23</v>
      </c>
      <c r="C13" s="2" t="s">
        <v>41</v>
      </c>
      <c r="D13" s="2" t="s">
        <v>30</v>
      </c>
      <c r="E13" s="2" t="s">
        <v>33</v>
      </c>
      <c r="F13" s="2" t="s">
        <v>26</v>
      </c>
      <c r="G13" s="4">
        <v>46290</v>
      </c>
      <c r="H13" s="4">
        <v>46296</v>
      </c>
      <c r="I13" s="4"/>
      <c r="J13" s="5">
        <v>3</v>
      </c>
      <c r="K13" s="5"/>
      <c r="L13" s="6">
        <f t="shared" si="0"/>
        <v>0</v>
      </c>
      <c r="M13" s="7">
        <v>0</v>
      </c>
      <c r="N13" s="8">
        <f>IF(I13="",IF(Summary!$B$2&lt;=H13,1,0),IF(I13&lt;=H13,1,0))</f>
        <v>1</v>
      </c>
      <c r="O13" s="3" t="s">
        <v>46</v>
      </c>
    </row>
    <row r="14" spans="1:15" ht="26" x14ac:dyDescent="0.35">
      <c r="A14" s="2">
        <v>113</v>
      </c>
      <c r="B14" s="3" t="s">
        <v>28</v>
      </c>
      <c r="C14" s="2" t="s">
        <v>47</v>
      </c>
      <c r="D14" s="2" t="s">
        <v>24</v>
      </c>
      <c r="E14" s="2" t="s">
        <v>18</v>
      </c>
      <c r="F14" s="2" t="s">
        <v>19</v>
      </c>
      <c r="G14" s="4">
        <v>46267</v>
      </c>
      <c r="H14" s="4">
        <v>46274</v>
      </c>
      <c r="I14" s="4">
        <v>46273</v>
      </c>
      <c r="J14" s="5">
        <v>5</v>
      </c>
      <c r="K14" s="5">
        <v>5</v>
      </c>
      <c r="L14" s="6">
        <f t="shared" si="0"/>
        <v>0</v>
      </c>
      <c r="M14" s="7">
        <v>1</v>
      </c>
      <c r="N14" s="8">
        <f>IF(I14="",IF(Summary!$B$2&lt;=H14,1,0),IF(I14&lt;=H14,1,0))</f>
        <v>1</v>
      </c>
      <c r="O14" s="3" t="s">
        <v>48</v>
      </c>
    </row>
    <row r="15" spans="1:15" ht="26" x14ac:dyDescent="0.35">
      <c r="A15" s="2">
        <v>114</v>
      </c>
      <c r="B15" s="3" t="s">
        <v>28</v>
      </c>
      <c r="C15" s="2" t="s">
        <v>47</v>
      </c>
      <c r="D15" s="2" t="s">
        <v>49</v>
      </c>
      <c r="E15" s="2" t="s">
        <v>18</v>
      </c>
      <c r="F15" s="2" t="s">
        <v>21</v>
      </c>
      <c r="G15" s="4">
        <v>46275</v>
      </c>
      <c r="H15" s="4">
        <v>46291</v>
      </c>
      <c r="I15" s="4"/>
      <c r="J15" s="5">
        <v>8</v>
      </c>
      <c r="K15" s="5">
        <v>4</v>
      </c>
      <c r="L15" s="6">
        <f t="shared" si="0"/>
        <v>-4</v>
      </c>
      <c r="M15" s="7">
        <v>0.55000000000000004</v>
      </c>
      <c r="N15" s="8">
        <f>IF(I15="",IF(Summary!$B$2&lt;=H15,1,0),IF(I15&lt;=H15,1,0))</f>
        <v>1</v>
      </c>
      <c r="O15" s="3" t="s">
        <v>50</v>
      </c>
    </row>
    <row r="16" spans="1:15" x14ac:dyDescent="0.35">
      <c r="A16" s="2">
        <v>115</v>
      </c>
      <c r="B16" s="3" t="s">
        <v>35</v>
      </c>
      <c r="C16" s="2" t="s">
        <v>47</v>
      </c>
      <c r="D16" s="2" t="s">
        <v>37</v>
      </c>
      <c r="E16" s="2" t="s">
        <v>25</v>
      </c>
      <c r="F16" s="2" t="s">
        <v>26</v>
      </c>
      <c r="G16" s="4">
        <v>46289</v>
      </c>
      <c r="H16" s="4">
        <v>46294</v>
      </c>
      <c r="I16" s="4"/>
      <c r="J16" s="5">
        <v>4</v>
      </c>
      <c r="K16" s="5"/>
      <c r="L16" s="6">
        <f t="shared" si="0"/>
        <v>0</v>
      </c>
      <c r="M16" s="7">
        <v>0</v>
      </c>
      <c r="N16" s="8">
        <f>IF(I16="",IF(Summary!$B$2&lt;=H16,1,0),IF(I16&lt;=H16,1,0))</f>
        <v>1</v>
      </c>
      <c r="O16" s="3" t="s">
        <v>51</v>
      </c>
    </row>
    <row r="17" spans="1:15" ht="26" x14ac:dyDescent="0.35">
      <c r="A17" s="2">
        <v>116</v>
      </c>
      <c r="B17" s="3" t="s">
        <v>35</v>
      </c>
      <c r="C17" s="2" t="s">
        <v>52</v>
      </c>
      <c r="D17" s="2" t="s">
        <v>37</v>
      </c>
      <c r="E17" s="2" t="s">
        <v>18</v>
      </c>
      <c r="F17" s="2" t="s">
        <v>19</v>
      </c>
      <c r="G17" s="4">
        <v>46266</v>
      </c>
      <c r="H17" s="4">
        <v>46272</v>
      </c>
      <c r="I17" s="4">
        <v>46272</v>
      </c>
      <c r="J17" s="5">
        <v>6</v>
      </c>
      <c r="K17" s="5">
        <v>6.5</v>
      </c>
      <c r="L17" s="6">
        <f t="shared" si="0"/>
        <v>0.5</v>
      </c>
      <c r="M17" s="7">
        <v>1</v>
      </c>
      <c r="N17" s="8">
        <f>IF(I17="",IF(Summary!$B$2&lt;=H17,1,0),IF(I17&lt;=H17,1,0))</f>
        <v>1</v>
      </c>
      <c r="O17" s="3" t="s">
        <v>53</v>
      </c>
    </row>
    <row r="18" spans="1:15" x14ac:dyDescent="0.35">
      <c r="A18" s="2">
        <v>117</v>
      </c>
      <c r="B18" s="3" t="s">
        <v>35</v>
      </c>
      <c r="C18" s="2" t="s">
        <v>52</v>
      </c>
      <c r="D18" s="2" t="s">
        <v>37</v>
      </c>
      <c r="E18" s="2" t="s">
        <v>18</v>
      </c>
      <c r="F18" s="2" t="s">
        <v>21</v>
      </c>
      <c r="G18" s="4">
        <v>46273</v>
      </c>
      <c r="H18" s="4">
        <v>46288</v>
      </c>
      <c r="I18" s="4"/>
      <c r="J18" s="5">
        <v>5</v>
      </c>
      <c r="K18" s="5">
        <v>4</v>
      </c>
      <c r="L18" s="6">
        <f t="shared" si="0"/>
        <v>-1</v>
      </c>
      <c r="M18" s="7">
        <v>0.75</v>
      </c>
      <c r="N18" s="8">
        <f>IF(I18="",IF(Summary!$B$2&lt;=H18,1,0),IF(I18&lt;=H18,1,0))</f>
        <v>1</v>
      </c>
      <c r="O18" s="3" t="s">
        <v>54</v>
      </c>
    </row>
    <row r="19" spans="1:15" x14ac:dyDescent="0.35">
      <c r="A19" s="2">
        <v>118</v>
      </c>
      <c r="B19" s="3" t="s">
        <v>23</v>
      </c>
      <c r="C19" s="2" t="s">
        <v>52</v>
      </c>
      <c r="D19" s="2" t="s">
        <v>55</v>
      </c>
      <c r="E19" s="2" t="s">
        <v>25</v>
      </c>
      <c r="F19" s="2" t="s">
        <v>19</v>
      </c>
      <c r="G19" s="4">
        <v>46283</v>
      </c>
      <c r="H19" s="4">
        <v>46286</v>
      </c>
      <c r="I19" s="4">
        <v>46285</v>
      </c>
      <c r="J19" s="5">
        <v>2</v>
      </c>
      <c r="K19" s="5">
        <v>1.5</v>
      </c>
      <c r="L19" s="6">
        <f t="shared" si="0"/>
        <v>-0.5</v>
      </c>
      <c r="M19" s="7">
        <v>1</v>
      </c>
      <c r="N19" s="8">
        <f>IF(I19="",IF(Summary!$B$2&lt;=H19,1,0),IF(I19&lt;=H19,1,0))</f>
        <v>1</v>
      </c>
      <c r="O19" s="3" t="s">
        <v>56</v>
      </c>
    </row>
    <row r="20" spans="1:15" ht="26" x14ac:dyDescent="0.35">
      <c r="A20" s="2">
        <v>119</v>
      </c>
      <c r="B20" s="3" t="s">
        <v>15</v>
      </c>
      <c r="C20" s="2" t="s">
        <v>57</v>
      </c>
      <c r="D20" s="2" t="s">
        <v>17</v>
      </c>
      <c r="E20" s="2" t="s">
        <v>25</v>
      </c>
      <c r="F20" s="2" t="s">
        <v>19</v>
      </c>
      <c r="G20" s="4">
        <v>46269</v>
      </c>
      <c r="H20" s="4">
        <v>46275</v>
      </c>
      <c r="I20" s="4">
        <v>46275</v>
      </c>
      <c r="J20" s="5">
        <v>4</v>
      </c>
      <c r="K20" s="5">
        <v>4</v>
      </c>
      <c r="L20" s="6">
        <f t="shared" si="0"/>
        <v>0</v>
      </c>
      <c r="M20" s="7">
        <v>1</v>
      </c>
      <c r="N20" s="8">
        <f>IF(I20="",IF(Summary!$B$2&lt;=H20,1,0),IF(I20&lt;=H20,1,0))</f>
        <v>1</v>
      </c>
      <c r="O20" s="3" t="s">
        <v>58</v>
      </c>
    </row>
    <row r="21" spans="1:15" x14ac:dyDescent="0.35">
      <c r="A21" s="2">
        <v>120</v>
      </c>
      <c r="B21" s="3" t="s">
        <v>15</v>
      </c>
      <c r="C21" s="2" t="s">
        <v>57</v>
      </c>
      <c r="D21" s="2" t="s">
        <v>24</v>
      </c>
      <c r="E21" s="2" t="s">
        <v>18</v>
      </c>
      <c r="F21" s="2" t="s">
        <v>21</v>
      </c>
      <c r="G21" s="4">
        <v>46280</v>
      </c>
      <c r="H21" s="4">
        <v>46293</v>
      </c>
      <c r="I21" s="4"/>
      <c r="J21" s="5">
        <v>6</v>
      </c>
      <c r="K21" s="5">
        <v>2.5</v>
      </c>
      <c r="L21" s="6">
        <f t="shared" si="0"/>
        <v>-3.5</v>
      </c>
      <c r="M21" s="7">
        <v>0.35</v>
      </c>
      <c r="N21" s="8">
        <f>IF(I21="",IF(Summary!$B$2&lt;=H21,1,0),IF(I21&lt;=H21,1,0))</f>
        <v>1</v>
      </c>
      <c r="O21" s="3" t="s">
        <v>59</v>
      </c>
    </row>
    <row r="22" spans="1:15" ht="26" x14ac:dyDescent="0.35">
      <c r="A22" s="2">
        <v>121</v>
      </c>
      <c r="B22" s="3" t="s">
        <v>28</v>
      </c>
      <c r="C22" s="2" t="s">
        <v>57</v>
      </c>
      <c r="D22" s="2" t="s">
        <v>30</v>
      </c>
      <c r="E22" s="2" t="s">
        <v>33</v>
      </c>
      <c r="F22" s="2" t="s">
        <v>26</v>
      </c>
      <c r="G22" s="4">
        <v>46293</v>
      </c>
      <c r="H22" s="4">
        <v>46300</v>
      </c>
      <c r="I22" s="4"/>
      <c r="J22" s="5">
        <v>3</v>
      </c>
      <c r="K22" s="5"/>
      <c r="L22" s="6">
        <f t="shared" si="0"/>
        <v>0</v>
      </c>
      <c r="M22" s="7">
        <v>0</v>
      </c>
      <c r="N22" s="8">
        <f>IF(I22="",IF(Summary!$B$2&lt;=H22,1,0),IF(I22&lt;=H22,1,0))</f>
        <v>1</v>
      </c>
      <c r="O22" s="3" t="s">
        <v>60</v>
      </c>
    </row>
    <row r="23" spans="1:15" x14ac:dyDescent="0.35">
      <c r="A23" s="2">
        <v>122</v>
      </c>
      <c r="B23" s="3" t="s">
        <v>28</v>
      </c>
      <c r="C23" s="2" t="s">
        <v>61</v>
      </c>
      <c r="D23" s="2" t="s">
        <v>17</v>
      </c>
      <c r="E23" s="2" t="s">
        <v>25</v>
      </c>
      <c r="F23" s="2" t="s">
        <v>19</v>
      </c>
      <c r="G23" s="4">
        <v>46266</v>
      </c>
      <c r="H23" s="4">
        <v>46271</v>
      </c>
      <c r="I23" s="4">
        <v>46271</v>
      </c>
      <c r="J23" s="5">
        <v>5</v>
      </c>
      <c r="K23" s="5">
        <v>4.5</v>
      </c>
      <c r="L23" s="6">
        <f t="shared" si="0"/>
        <v>-0.5</v>
      </c>
      <c r="M23" s="7">
        <v>1</v>
      </c>
      <c r="N23" s="8">
        <f>IF(I23="",IF(Summary!$B$2&lt;=H23,1,0),IF(I23&lt;=H23,1,0))</f>
        <v>1</v>
      </c>
      <c r="O23" s="3" t="s">
        <v>62</v>
      </c>
    </row>
    <row r="24" spans="1:15" ht="26" x14ac:dyDescent="0.35">
      <c r="A24" s="2">
        <v>123</v>
      </c>
      <c r="B24" s="3" t="s">
        <v>35</v>
      </c>
      <c r="C24" s="2" t="s">
        <v>61</v>
      </c>
      <c r="D24" s="2" t="s">
        <v>30</v>
      </c>
      <c r="E24" s="2" t="s">
        <v>25</v>
      </c>
      <c r="F24" s="2" t="s">
        <v>21</v>
      </c>
      <c r="G24" s="4">
        <v>46277</v>
      </c>
      <c r="H24" s="4">
        <v>46290</v>
      </c>
      <c r="I24" s="4"/>
      <c r="J24" s="5">
        <v>4</v>
      </c>
      <c r="K24" s="5">
        <v>2.5</v>
      </c>
      <c r="L24" s="6">
        <f t="shared" si="0"/>
        <v>-1.5</v>
      </c>
      <c r="M24" s="7">
        <v>0.65</v>
      </c>
      <c r="N24" s="8">
        <f>IF(I24="",IF(Summary!$B$2&lt;=H24,1,0),IF(I24&lt;=H24,1,0))</f>
        <v>1</v>
      </c>
      <c r="O24" s="3" t="s">
        <v>63</v>
      </c>
    </row>
    <row r="25" spans="1:15" ht="26" x14ac:dyDescent="0.35">
      <c r="A25" s="2">
        <v>124</v>
      </c>
      <c r="B25" s="3" t="s">
        <v>23</v>
      </c>
      <c r="C25" s="2" t="s">
        <v>61</v>
      </c>
      <c r="D25" s="2" t="s">
        <v>24</v>
      </c>
      <c r="E25" s="2" t="s">
        <v>18</v>
      </c>
      <c r="F25" s="2" t="s">
        <v>44</v>
      </c>
      <c r="G25" s="4">
        <v>46287</v>
      </c>
      <c r="H25" s="4">
        <v>46288</v>
      </c>
      <c r="I25" s="4"/>
      <c r="J25" s="5">
        <v>3</v>
      </c>
      <c r="K25" s="5">
        <v>1</v>
      </c>
      <c r="L25" s="6">
        <f t="shared" si="0"/>
        <v>-2</v>
      </c>
      <c r="M25" s="7">
        <v>0.25</v>
      </c>
      <c r="N25" s="8">
        <f>IF(I25="",IF(Summary!$B$2&lt;=H25,1,0),IF(I25&lt;=H25,1,0))</f>
        <v>1</v>
      </c>
      <c r="O25" s="3" t="s">
        <v>64</v>
      </c>
    </row>
  </sheetData>
  <autoFilter ref="A1:O25" xr:uid="{00000000-0009-0000-0000-000000000000}"/>
  <conditionalFormatting sqref="E2:E25">
    <cfRule type="expression" dxfId="5" priority="3">
      <formula>$E2="High"</formula>
    </cfRule>
  </conditionalFormatting>
  <conditionalFormatting sqref="F2:F25">
    <cfRule type="expression" dxfId="4" priority="1">
      <formula>$F2="Completed"</formula>
    </cfRule>
    <cfRule type="expression" dxfId="3" priority="2">
      <formula>$F2="Blocked"</formula>
    </cfRule>
  </conditionalFormatting>
  <conditionalFormatting sqref="N2:N25">
    <cfRule type="cellIs" dxfId="2" priority="4" operator="equal">
      <formula>0</formula>
    </cfRule>
  </conditionalFormatting>
  <pageMargins left="0.75" right="0.75" top="1" bottom="1" header="0.5" footer="0.5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showGridLines="0" workbookViewId="0">
      <pane ySplit="5" topLeftCell="A6" activePane="bottomLeft" state="frozen"/>
      <selection pane="bottomLeft"/>
    </sheetView>
  </sheetViews>
  <sheetFormatPr defaultRowHeight="14.5" x14ac:dyDescent="0.35"/>
  <cols>
    <col min="1" max="3" width="16" customWidth="1"/>
    <col min="4" max="4" width="18" customWidth="1"/>
    <col min="5" max="11" width="16" customWidth="1"/>
  </cols>
  <sheetData>
    <row r="1" spans="1:11" ht="30" customHeight="1" x14ac:dyDescent="0.35">
      <c r="A1" s="27" t="s">
        <v>65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x14ac:dyDescent="0.35">
      <c r="A2" s="9" t="s">
        <v>66</v>
      </c>
      <c r="B2" s="10">
        <v>46288</v>
      </c>
      <c r="D2" s="11" t="s">
        <v>67</v>
      </c>
    </row>
    <row r="5" spans="1:11" ht="32" customHeight="1" x14ac:dyDescent="0.35">
      <c r="A5" s="12" t="s">
        <v>2</v>
      </c>
      <c r="B5" s="12" t="s">
        <v>68</v>
      </c>
      <c r="C5" s="12" t="s">
        <v>19</v>
      </c>
      <c r="D5" s="12" t="s">
        <v>21</v>
      </c>
      <c r="E5" s="12" t="s">
        <v>44</v>
      </c>
      <c r="F5" s="12" t="s">
        <v>9</v>
      </c>
      <c r="G5" s="12" t="s">
        <v>10</v>
      </c>
      <c r="H5" s="12" t="s">
        <v>11</v>
      </c>
      <c r="I5" s="12" t="s">
        <v>69</v>
      </c>
      <c r="J5" s="12" t="s">
        <v>70</v>
      </c>
      <c r="K5" s="12" t="s">
        <v>71</v>
      </c>
    </row>
    <row r="6" spans="1:11" x14ac:dyDescent="0.35">
      <c r="A6" s="13" t="s">
        <v>16</v>
      </c>
      <c r="B6" s="14">
        <f>COUNTIF(Tasks!$C$2:$C$25,$A6)</f>
        <v>3</v>
      </c>
      <c r="C6" s="14">
        <f>COUNTIFS(Tasks!$C$2:$C$25,$A6,Tasks!$F$2:$F$25,"Completed")</f>
        <v>1</v>
      </c>
      <c r="D6" s="14">
        <f>COUNTIFS(Tasks!$C$2:$C$25,$A6,Tasks!$F$2:$F$25,"In Progress")</f>
        <v>1</v>
      </c>
      <c r="E6" s="14">
        <f>COUNTIFS(Tasks!$C$2:$C$25,$A6,Tasks!$F$2:$F$25,"Blocked")</f>
        <v>0</v>
      </c>
      <c r="F6" s="15">
        <f>SUMIF(Tasks!$C$2:$C$25,$A6,Tasks!$J$2:$J$25)</f>
        <v>14</v>
      </c>
      <c r="G6" s="15">
        <f>SUMIF(Tasks!$C$2:$C$25,$A6,Tasks!$K$2:$K$25)</f>
        <v>9.5</v>
      </c>
      <c r="H6" s="15">
        <f t="shared" ref="H6:H13" si="0">G6-F6</f>
        <v>-4.5</v>
      </c>
      <c r="I6" s="16">
        <f>IFERROR(AVERAGEIF(Tasks!$C$2:$C$25,$A6,Tasks!$M$2:$M$25),0)</f>
        <v>0.53333333333333333</v>
      </c>
      <c r="J6" s="16">
        <f t="shared" ref="J6:J14" si="1">IFERROR(C6/B6,0)</f>
        <v>0.33333333333333331</v>
      </c>
      <c r="K6" s="14">
        <f>COUNTIFS(Tasks!$C$2:$C$25,$A6,Tasks!$N$2:$N$25,1)</f>
        <v>3</v>
      </c>
    </row>
    <row r="7" spans="1:11" x14ac:dyDescent="0.35">
      <c r="A7" s="13" t="s">
        <v>29</v>
      </c>
      <c r="B7" s="14">
        <f>COUNTIF(Tasks!$C$2:$C$25,$A7)</f>
        <v>3</v>
      </c>
      <c r="C7" s="14">
        <f>COUNTIFS(Tasks!$C$2:$C$25,$A7,Tasks!$F$2:$F$25,"Completed")</f>
        <v>1</v>
      </c>
      <c r="D7" s="14">
        <f>COUNTIFS(Tasks!$C$2:$C$25,$A7,Tasks!$F$2:$F$25,"In Progress")</f>
        <v>1</v>
      </c>
      <c r="E7" s="14">
        <f>COUNTIFS(Tasks!$C$2:$C$25,$A7,Tasks!$F$2:$F$25,"Blocked")</f>
        <v>0</v>
      </c>
      <c r="F7" s="15">
        <f>SUMIF(Tasks!$C$2:$C$25,$A7,Tasks!$J$2:$J$25)</f>
        <v>13</v>
      </c>
      <c r="G7" s="15">
        <f>SUMIF(Tasks!$C$2:$C$25,$A7,Tasks!$K$2:$K$25)</f>
        <v>9</v>
      </c>
      <c r="H7" s="15">
        <f t="shared" si="0"/>
        <v>-4</v>
      </c>
      <c r="I7" s="16">
        <f>IFERROR(AVERAGEIF(Tasks!$C$2:$C$25,$A7,Tasks!$M$2:$M$25),0)</f>
        <v>0.6</v>
      </c>
      <c r="J7" s="16">
        <f t="shared" si="1"/>
        <v>0.33333333333333331</v>
      </c>
      <c r="K7" s="14">
        <f>COUNTIFS(Tasks!$C$2:$C$25,$A7,Tasks!$N$2:$N$25,1)</f>
        <v>3</v>
      </c>
    </row>
    <row r="8" spans="1:11" x14ac:dyDescent="0.35">
      <c r="A8" s="13" t="s">
        <v>36</v>
      </c>
      <c r="B8" s="14">
        <f>COUNTIF(Tasks!$C$2:$C$25,$A8)</f>
        <v>3</v>
      </c>
      <c r="C8" s="14">
        <f>COUNTIFS(Tasks!$C$2:$C$25,$A8,Tasks!$F$2:$F$25,"Completed")</f>
        <v>2</v>
      </c>
      <c r="D8" s="14">
        <f>COUNTIFS(Tasks!$C$2:$C$25,$A8,Tasks!$F$2:$F$25,"In Progress")</f>
        <v>1</v>
      </c>
      <c r="E8" s="14">
        <f>COUNTIFS(Tasks!$C$2:$C$25,$A8,Tasks!$F$2:$F$25,"Blocked")</f>
        <v>0</v>
      </c>
      <c r="F8" s="15">
        <f>SUMIF(Tasks!$C$2:$C$25,$A8,Tasks!$J$2:$J$25)</f>
        <v>10</v>
      </c>
      <c r="G8" s="15">
        <f>SUMIF(Tasks!$C$2:$C$25,$A8,Tasks!$K$2:$K$25)</f>
        <v>8.5</v>
      </c>
      <c r="H8" s="15">
        <f t="shared" si="0"/>
        <v>-1.5</v>
      </c>
      <c r="I8" s="16">
        <f>IFERROR(AVERAGEIF(Tasks!$C$2:$C$25,$A8,Tasks!$M$2:$M$25),0)</f>
        <v>0.83333333333333337</v>
      </c>
      <c r="J8" s="16">
        <f t="shared" si="1"/>
        <v>0.66666666666666663</v>
      </c>
      <c r="K8" s="14">
        <f>COUNTIFS(Tasks!$C$2:$C$25,$A8,Tasks!$N$2:$N$25,1)</f>
        <v>2</v>
      </c>
    </row>
    <row r="9" spans="1:11" x14ac:dyDescent="0.35">
      <c r="A9" s="13" t="s">
        <v>41</v>
      </c>
      <c r="B9" s="14">
        <f>COUNTIF(Tasks!$C$2:$C$25,$A9)</f>
        <v>3</v>
      </c>
      <c r="C9" s="14">
        <f>COUNTIFS(Tasks!$C$2:$C$25,$A9,Tasks!$F$2:$F$25,"Completed")</f>
        <v>1</v>
      </c>
      <c r="D9" s="14">
        <f>COUNTIFS(Tasks!$C$2:$C$25,$A9,Tasks!$F$2:$F$25,"In Progress")</f>
        <v>0</v>
      </c>
      <c r="E9" s="14">
        <f>COUNTIFS(Tasks!$C$2:$C$25,$A9,Tasks!$F$2:$F$25,"Blocked")</f>
        <v>1</v>
      </c>
      <c r="F9" s="15">
        <f>SUMIF(Tasks!$C$2:$C$25,$A9,Tasks!$J$2:$J$25)</f>
        <v>14</v>
      </c>
      <c r="G9" s="15">
        <f>SUMIF(Tasks!$C$2:$C$25,$A9,Tasks!$K$2:$K$25)</f>
        <v>8</v>
      </c>
      <c r="H9" s="15">
        <f t="shared" si="0"/>
        <v>-6</v>
      </c>
      <c r="I9" s="16">
        <f>IFERROR(AVERAGEIF(Tasks!$C$2:$C$25,$A9,Tasks!$M$2:$M$25),0)</f>
        <v>0.46666666666666662</v>
      </c>
      <c r="J9" s="16">
        <f t="shared" si="1"/>
        <v>0.33333333333333331</v>
      </c>
      <c r="K9" s="14">
        <f>COUNTIFS(Tasks!$C$2:$C$25,$A9,Tasks!$N$2:$N$25,1)</f>
        <v>2</v>
      </c>
    </row>
    <row r="10" spans="1:11" x14ac:dyDescent="0.35">
      <c r="A10" s="13" t="s">
        <v>47</v>
      </c>
      <c r="B10" s="14">
        <f>COUNTIF(Tasks!$C$2:$C$25,$A10)</f>
        <v>3</v>
      </c>
      <c r="C10" s="14">
        <f>COUNTIFS(Tasks!$C$2:$C$25,$A10,Tasks!$F$2:$F$25,"Completed")</f>
        <v>1</v>
      </c>
      <c r="D10" s="14">
        <f>COUNTIFS(Tasks!$C$2:$C$25,$A10,Tasks!$F$2:$F$25,"In Progress")</f>
        <v>1</v>
      </c>
      <c r="E10" s="14">
        <f>COUNTIFS(Tasks!$C$2:$C$25,$A10,Tasks!$F$2:$F$25,"Blocked")</f>
        <v>0</v>
      </c>
      <c r="F10" s="15">
        <f>SUMIF(Tasks!$C$2:$C$25,$A10,Tasks!$J$2:$J$25)</f>
        <v>17</v>
      </c>
      <c r="G10" s="15">
        <f>SUMIF(Tasks!$C$2:$C$25,$A10,Tasks!$K$2:$K$25)</f>
        <v>9</v>
      </c>
      <c r="H10" s="15">
        <f t="shared" si="0"/>
        <v>-8</v>
      </c>
      <c r="I10" s="16">
        <f>IFERROR(AVERAGEIF(Tasks!$C$2:$C$25,$A10,Tasks!$M$2:$M$25),0)</f>
        <v>0.51666666666666672</v>
      </c>
      <c r="J10" s="16">
        <f t="shared" si="1"/>
        <v>0.33333333333333331</v>
      </c>
      <c r="K10" s="14">
        <f>COUNTIFS(Tasks!$C$2:$C$25,$A10,Tasks!$N$2:$N$25,1)</f>
        <v>3</v>
      </c>
    </row>
    <row r="11" spans="1:11" x14ac:dyDescent="0.35">
      <c r="A11" s="13" t="s">
        <v>52</v>
      </c>
      <c r="B11" s="14">
        <f>COUNTIF(Tasks!$C$2:$C$25,$A11)</f>
        <v>3</v>
      </c>
      <c r="C11" s="14">
        <f>COUNTIFS(Tasks!$C$2:$C$25,$A11,Tasks!$F$2:$F$25,"Completed")</f>
        <v>2</v>
      </c>
      <c r="D11" s="14">
        <f>COUNTIFS(Tasks!$C$2:$C$25,$A11,Tasks!$F$2:$F$25,"In Progress")</f>
        <v>1</v>
      </c>
      <c r="E11" s="14">
        <f>COUNTIFS(Tasks!$C$2:$C$25,$A11,Tasks!$F$2:$F$25,"Blocked")</f>
        <v>0</v>
      </c>
      <c r="F11" s="15">
        <f>SUMIF(Tasks!$C$2:$C$25,$A11,Tasks!$J$2:$J$25)</f>
        <v>13</v>
      </c>
      <c r="G11" s="15">
        <f>SUMIF(Tasks!$C$2:$C$25,$A11,Tasks!$K$2:$K$25)</f>
        <v>12</v>
      </c>
      <c r="H11" s="15">
        <f t="shared" si="0"/>
        <v>-1</v>
      </c>
      <c r="I11" s="16">
        <f>IFERROR(AVERAGEIF(Tasks!$C$2:$C$25,$A11,Tasks!$M$2:$M$25),0)</f>
        <v>0.91666666666666663</v>
      </c>
      <c r="J11" s="16">
        <f t="shared" si="1"/>
        <v>0.66666666666666663</v>
      </c>
      <c r="K11" s="14">
        <f>COUNTIFS(Tasks!$C$2:$C$25,$A11,Tasks!$N$2:$N$25,1)</f>
        <v>3</v>
      </c>
    </row>
    <row r="12" spans="1:11" x14ac:dyDescent="0.35">
      <c r="A12" s="13" t="s">
        <v>57</v>
      </c>
      <c r="B12" s="14">
        <f>COUNTIF(Tasks!$C$2:$C$25,$A12)</f>
        <v>3</v>
      </c>
      <c r="C12" s="14">
        <f>COUNTIFS(Tasks!$C$2:$C$25,$A12,Tasks!$F$2:$F$25,"Completed")</f>
        <v>1</v>
      </c>
      <c r="D12" s="14">
        <f>COUNTIFS(Tasks!$C$2:$C$25,$A12,Tasks!$F$2:$F$25,"In Progress")</f>
        <v>1</v>
      </c>
      <c r="E12" s="14">
        <f>COUNTIFS(Tasks!$C$2:$C$25,$A12,Tasks!$F$2:$F$25,"Blocked")</f>
        <v>0</v>
      </c>
      <c r="F12" s="15">
        <f>SUMIF(Tasks!$C$2:$C$25,$A12,Tasks!$J$2:$J$25)</f>
        <v>13</v>
      </c>
      <c r="G12" s="15">
        <f>SUMIF(Tasks!$C$2:$C$25,$A12,Tasks!$K$2:$K$25)</f>
        <v>6.5</v>
      </c>
      <c r="H12" s="15">
        <f t="shared" si="0"/>
        <v>-6.5</v>
      </c>
      <c r="I12" s="16">
        <f>IFERROR(AVERAGEIF(Tasks!$C$2:$C$25,$A12,Tasks!$M$2:$M$25),0)</f>
        <v>0.45</v>
      </c>
      <c r="J12" s="16">
        <f t="shared" si="1"/>
        <v>0.33333333333333331</v>
      </c>
      <c r="K12" s="14">
        <f>COUNTIFS(Tasks!$C$2:$C$25,$A12,Tasks!$N$2:$N$25,1)</f>
        <v>3</v>
      </c>
    </row>
    <row r="13" spans="1:11" x14ac:dyDescent="0.35">
      <c r="A13" s="13" t="s">
        <v>61</v>
      </c>
      <c r="B13" s="14">
        <f>COUNTIF(Tasks!$C$2:$C$25,$A13)</f>
        <v>3</v>
      </c>
      <c r="C13" s="14">
        <f>COUNTIFS(Tasks!$C$2:$C$25,$A13,Tasks!$F$2:$F$25,"Completed")</f>
        <v>1</v>
      </c>
      <c r="D13" s="14">
        <f>COUNTIFS(Tasks!$C$2:$C$25,$A13,Tasks!$F$2:$F$25,"In Progress")</f>
        <v>1</v>
      </c>
      <c r="E13" s="14">
        <f>COUNTIFS(Tasks!$C$2:$C$25,$A13,Tasks!$F$2:$F$25,"Blocked")</f>
        <v>1</v>
      </c>
      <c r="F13" s="15">
        <f>SUMIF(Tasks!$C$2:$C$25,$A13,Tasks!$J$2:$J$25)</f>
        <v>12</v>
      </c>
      <c r="G13" s="15">
        <f>SUMIF(Tasks!$C$2:$C$25,$A13,Tasks!$K$2:$K$25)</f>
        <v>8</v>
      </c>
      <c r="H13" s="15">
        <f t="shared" si="0"/>
        <v>-4</v>
      </c>
      <c r="I13" s="16">
        <f>IFERROR(AVERAGEIF(Tasks!$C$2:$C$25,$A13,Tasks!$M$2:$M$25),0)</f>
        <v>0.6333333333333333</v>
      </c>
      <c r="J13" s="16">
        <f t="shared" si="1"/>
        <v>0.33333333333333331</v>
      </c>
      <c r="K13" s="14">
        <f>COUNTIFS(Tasks!$C$2:$C$25,$A13,Tasks!$N$2:$N$25,1)</f>
        <v>3</v>
      </c>
    </row>
    <row r="14" spans="1:11" x14ac:dyDescent="0.35">
      <c r="A14" s="17" t="s">
        <v>72</v>
      </c>
      <c r="B14" s="18">
        <f t="shared" ref="B14:H14" si="2">SUM(B6:B13)</f>
        <v>24</v>
      </c>
      <c r="C14" s="18">
        <f t="shared" si="2"/>
        <v>10</v>
      </c>
      <c r="D14" s="18">
        <f t="shared" si="2"/>
        <v>7</v>
      </c>
      <c r="E14" s="18">
        <f t="shared" si="2"/>
        <v>2</v>
      </c>
      <c r="F14" s="19">
        <f t="shared" si="2"/>
        <v>106</v>
      </c>
      <c r="G14" s="19">
        <f t="shared" si="2"/>
        <v>70.5</v>
      </c>
      <c r="H14" s="19">
        <f t="shared" si="2"/>
        <v>-35.5</v>
      </c>
      <c r="I14" s="20">
        <f>AVERAGE(I6:I13)</f>
        <v>0.61874999999999991</v>
      </c>
      <c r="J14" s="20">
        <f t="shared" si="1"/>
        <v>0.41666666666666669</v>
      </c>
      <c r="K14" s="18">
        <f>SUM(K6:K13)</f>
        <v>22</v>
      </c>
    </row>
  </sheetData>
  <mergeCells count="1">
    <mergeCell ref="A1:K1"/>
  </mergeCells>
  <conditionalFormatting sqref="H6:H14">
    <cfRule type="cellIs" dxfId="1" priority="1" operator="greaterThan">
      <formula>0</formula>
    </cfRule>
  </conditionalFormatting>
  <conditionalFormatting sqref="J6:J13">
    <cfRule type="cellIs" dxfId="0" priority="2" operator="greaterThanOrEqual">
      <formula>0.67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8" customWidth="1"/>
    <col min="2" max="2" width="24" customWidth="1"/>
    <col min="3" max="3" width="62" customWidth="1"/>
    <col min="4" max="4" width="20" customWidth="1"/>
    <col min="5" max="5" width="18" customWidth="1"/>
    <col min="6" max="6" width="35" customWidth="1"/>
  </cols>
  <sheetData>
    <row r="1" spans="1:6" ht="30" customHeight="1" x14ac:dyDescent="0.35">
      <c r="A1" s="27" t="s">
        <v>73</v>
      </c>
      <c r="B1" s="28"/>
      <c r="C1" s="28"/>
      <c r="D1" s="28"/>
      <c r="E1" s="28"/>
      <c r="F1" s="28"/>
    </row>
    <row r="2" spans="1:6" x14ac:dyDescent="0.35">
      <c r="A2" s="12" t="s">
        <v>74</v>
      </c>
      <c r="B2" s="12" t="s">
        <v>75</v>
      </c>
      <c r="C2" s="12" t="s">
        <v>76</v>
      </c>
      <c r="D2" s="12" t="s">
        <v>77</v>
      </c>
      <c r="E2" s="12" t="s">
        <v>78</v>
      </c>
      <c r="F2" s="12" t="s">
        <v>14</v>
      </c>
    </row>
    <row r="3" spans="1:6" x14ac:dyDescent="0.35">
      <c r="A3" s="21" t="s">
        <v>79</v>
      </c>
      <c r="B3" s="21" t="s">
        <v>80</v>
      </c>
      <c r="C3" s="21" t="s">
        <v>81</v>
      </c>
      <c r="D3" s="21" t="s">
        <v>82</v>
      </c>
      <c r="E3" s="3"/>
      <c r="F3" s="3"/>
    </row>
    <row r="4" spans="1:6" x14ac:dyDescent="0.35">
      <c r="A4" s="21" t="s">
        <v>83</v>
      </c>
      <c r="B4" s="21" t="s">
        <v>84</v>
      </c>
      <c r="C4" s="21" t="s">
        <v>85</v>
      </c>
      <c r="D4" s="21" t="s">
        <v>37</v>
      </c>
      <c r="E4" s="3"/>
      <c r="F4" s="3"/>
    </row>
    <row r="5" spans="1:6" x14ac:dyDescent="0.35">
      <c r="A5" s="21" t="s">
        <v>86</v>
      </c>
      <c r="B5" s="21" t="s">
        <v>87</v>
      </c>
      <c r="C5" s="21" t="s">
        <v>88</v>
      </c>
      <c r="D5" s="21" t="s">
        <v>37</v>
      </c>
      <c r="E5" s="3"/>
      <c r="F5" s="3"/>
    </row>
    <row r="6" spans="1:6" x14ac:dyDescent="0.35">
      <c r="A6" s="21" t="s">
        <v>89</v>
      </c>
      <c r="B6" s="21" t="s">
        <v>90</v>
      </c>
      <c r="C6" s="21" t="s">
        <v>91</v>
      </c>
      <c r="D6" s="21" t="s">
        <v>82</v>
      </c>
      <c r="E6" s="3"/>
      <c r="F6" s="3"/>
    </row>
    <row r="7" spans="1:6" x14ac:dyDescent="0.35">
      <c r="A7" s="21" t="s">
        <v>92</v>
      </c>
      <c r="B7" s="21" t="s">
        <v>93</v>
      </c>
      <c r="C7" s="21" t="s">
        <v>94</v>
      </c>
      <c r="D7" s="21" t="s">
        <v>82</v>
      </c>
      <c r="E7" s="3"/>
      <c r="F7" s="3"/>
    </row>
    <row r="8" spans="1:6" x14ac:dyDescent="0.35">
      <c r="A8" s="21" t="s">
        <v>95</v>
      </c>
      <c r="B8" s="21" t="s">
        <v>96</v>
      </c>
      <c r="C8" s="21" t="s">
        <v>97</v>
      </c>
      <c r="D8" s="21" t="s">
        <v>98</v>
      </c>
      <c r="E8" s="3"/>
      <c r="F8" s="3"/>
    </row>
    <row r="9" spans="1:6" x14ac:dyDescent="0.35">
      <c r="A9" s="21" t="s">
        <v>99</v>
      </c>
      <c r="B9" s="21" t="s">
        <v>100</v>
      </c>
      <c r="C9" s="21" t="s">
        <v>101</v>
      </c>
      <c r="D9" s="21" t="s">
        <v>102</v>
      </c>
      <c r="E9" s="3"/>
      <c r="F9" s="3"/>
    </row>
    <row r="10" spans="1:6" x14ac:dyDescent="0.35">
      <c r="A10" s="21" t="s">
        <v>103</v>
      </c>
      <c r="B10" s="21" t="s">
        <v>104</v>
      </c>
      <c r="C10" s="21" t="s">
        <v>105</v>
      </c>
      <c r="D10" s="21" t="s">
        <v>82</v>
      </c>
      <c r="E10" s="3"/>
      <c r="F10" s="3"/>
    </row>
    <row r="13" spans="1:6" x14ac:dyDescent="0.35">
      <c r="A13" s="9" t="s">
        <v>106</v>
      </c>
    </row>
    <row r="14" spans="1:6" x14ac:dyDescent="0.35">
      <c r="A14" s="22" t="s">
        <v>107</v>
      </c>
      <c r="B14" t="s">
        <v>108</v>
      </c>
    </row>
    <row r="15" spans="1:6" x14ac:dyDescent="0.35">
      <c r="A15" s="23" t="s">
        <v>109</v>
      </c>
      <c r="B15" t="s">
        <v>110</v>
      </c>
    </row>
    <row r="16" spans="1:6" x14ac:dyDescent="0.35">
      <c r="A16" s="24" t="s">
        <v>111</v>
      </c>
      <c r="B16" t="s">
        <v>112</v>
      </c>
    </row>
    <row r="17" spans="1:2" x14ac:dyDescent="0.35">
      <c r="A17" s="25" t="s">
        <v>113</v>
      </c>
      <c r="B17" t="s">
        <v>114</v>
      </c>
    </row>
    <row r="18" spans="1:2" x14ac:dyDescent="0.35">
      <c r="A18" s="26" t="s">
        <v>115</v>
      </c>
      <c r="B18" t="s">
        <v>116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Przemyslaw Kondrat</cp:lastModifiedBy>
  <dcterms:created xsi:type="dcterms:W3CDTF">2026-09-23T13:44:39Z</dcterms:created>
  <dcterms:modified xsi:type="dcterms:W3CDTF">2026-09-25T11:24:49Z</dcterms:modified>
</cp:coreProperties>
</file>